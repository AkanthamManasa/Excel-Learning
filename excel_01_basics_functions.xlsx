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a2438f9ef33e3037/Desktop/Data Analytics Preparation/Excel/"/>
    </mc:Choice>
  </mc:AlternateContent>
  <xr:revisionPtr revIDLastSave="90" documentId="8_{2142660C-5A72-4853-8FA7-40FFBD1099CB}" xr6:coauthVersionLast="47" xr6:coauthVersionMax="47" xr10:uidLastSave="{97E72B31-2FE1-42DF-A1EE-F149757466BE}"/>
  <bookViews>
    <workbookView xWindow="-108" yWindow="-108" windowWidth="23256" windowHeight="12456" activeTab="3" xr2:uid="{E40E206A-CD2F-44D4-8383-96E00DEA2B61}"/>
  </bookViews>
  <sheets>
    <sheet name="Sheet2" sheetId="2" r:id="rId1"/>
    <sheet name="Sheet4" sheetId="4" r:id="rId2"/>
    <sheet name="Sheet5" sheetId="5" r:id="rId3"/>
    <sheet name="Sheet1" sheetId="1" r:id="rId4"/>
  </sheets>
  <definedNames>
    <definedName name="_xlnm._FilterDatabase" localSheetId="3" hidden="1">Sheet1!$A$1:$F$13</definedName>
  </definedNames>
  <calcPr calcId="191029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2" i="1"/>
  <c r="G4" i="1"/>
  <c r="G13" i="1"/>
  <c r="G10" i="1"/>
  <c r="G7" i="1"/>
  <c r="G6" i="1"/>
  <c r="G3" i="1"/>
  <c r="G12" i="1"/>
  <c r="G8" i="1"/>
  <c r="G2" i="1"/>
  <c r="G11" i="1"/>
  <c r="G5" i="1"/>
  <c r="G9" i="1"/>
  <c r="C20" i="1"/>
  <c r="C19" i="1"/>
  <c r="C18" i="1"/>
  <c r="C17" i="1"/>
  <c r="C16" i="1"/>
</calcChain>
</file>

<file path=xl/sharedStrings.xml><?xml version="1.0" encoding="utf-8"?>
<sst xmlns="http://schemas.openxmlformats.org/spreadsheetml/2006/main" count="71" uniqueCount="28">
  <si>
    <t>Order ID</t>
  </si>
  <si>
    <t>Category</t>
  </si>
  <si>
    <t>Region</t>
  </si>
  <si>
    <t>Sales</t>
  </si>
  <si>
    <t>Profit</t>
  </si>
  <si>
    <t>Quantity</t>
  </si>
  <si>
    <t>Furniture</t>
  </si>
  <si>
    <t>South</t>
  </si>
  <si>
    <t>Technology</t>
  </si>
  <si>
    <t>West</t>
  </si>
  <si>
    <t>Office Supplies</t>
  </si>
  <si>
    <t>East</t>
  </si>
  <si>
    <t>North</t>
  </si>
  <si>
    <t>---</t>
  </si>
  <si>
    <t>Summary:</t>
  </si>
  <si>
    <t>Total Sales</t>
  </si>
  <si>
    <t>Average Sales</t>
  </si>
  <si>
    <t>Count of Orderd</t>
  </si>
  <si>
    <t>Highest Sale</t>
  </si>
  <si>
    <t>Lowest Sale</t>
  </si>
  <si>
    <t>Performance</t>
  </si>
  <si>
    <t>Row Labels</t>
  </si>
  <si>
    <t>Grand Total</t>
  </si>
  <si>
    <t>Sum of Sales</t>
  </si>
  <si>
    <t>Sum of Profit</t>
  </si>
  <si>
    <t>Sum of Quantity</t>
  </si>
  <si>
    <t>Column Labels</t>
  </si>
  <si>
    <t>Tax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</si>
</sst>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.5"/>
      <color theme="1"/>
      <name val="Calibri"/>
      <family val="2"/>
      <scheme val="minor"/>
    </font>
    <font>
      <sz val="10"/>
      <color rgb="FF14181F"/>
      <name val="Calibri"/>
      <family val="2"/>
      <scheme val="minor"/>
    </font>
    <font>
      <sz val="10"/>
      <color rgb="FF8100C2"/>
      <name val="Calibri"/>
      <family val="2"/>
      <scheme val="minor"/>
    </font>
    <font>
      <b/>
      <sz val="10"/>
      <color rgb="FF2B303B"/>
      <name val="Calibri"/>
      <family val="2"/>
      <scheme val="minor"/>
    </font>
    <font>
      <sz val="10"/>
      <color rgb="FF2B303B"/>
      <name val="Calibri"/>
      <family val="2"/>
      <scheme val="minor"/>
    </font>
    <font>
      <sz val="10"/>
      <color rgb="FFB34A00"/>
      <name val="Calibri"/>
      <family val="2"/>
      <scheme val="minor"/>
    </font>
    <font>
      <sz val="10"/>
      <color rgb="FF0051C2"/>
      <name val="Calibri"/>
      <family val="2"/>
      <scheme val="minor"/>
    </font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0" fillId="0" borderId="0" xfId="0" applyAlignment="1">
      <alignment horizontal="left" vertical="center" indent="1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1" fillId="0" borderId="0" xfId="0" applyFont="1" applyAlignment="1">
      <alignment horizontal="left" vertical="center" indent="1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9" fillId="0" borderId="0" xfId="0" applyFont="1"/>
    <xf numFmtId="0" fontId="0" fillId="0" borderId="0" xfId="0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[excel_01_basics_functions.xlsx]Sheet2!PivotTable1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0" i="0" u="none" strike="noStrike" baseline="0"/>
              <a:t>Sales and Profit by Category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Sheet2!$B$3</c:f>
              <c:strCache>
                <c:ptCount val="1"/>
                <c:pt idx="0">
                  <c:v>Sum of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Sheet2!$A$4:$A$7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Sheet2!$B$4:$B$7</c:f>
              <c:numCache>
                <c:formatCode>General</c:formatCode>
                <c:ptCount val="3"/>
                <c:pt idx="0">
                  <c:v>17400</c:v>
                </c:pt>
                <c:pt idx="1">
                  <c:v>4050</c:v>
                </c:pt>
                <c:pt idx="2">
                  <c:v>37500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B2C-4632-9D56-2E7C471E7FF9}"/>
            </c:ext>
          </c:extLst>
        </c:ser>
        <c:ser>
          <c:idx val="1"/>
          <c:order val="1"/>
          <c:tx>
            <c:strRef>
              <c:f>Sheet2!$C$3</c:f>
              <c:strCache>
                <c:ptCount val="1"/>
                <c:pt idx="0">
                  <c:v>Sum of Profit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Sheet2!$A$4:$A$7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Sheet2!$C$4:$C$7</c:f>
              <c:numCache>
                <c:formatCode>General</c:formatCode>
                <c:ptCount val="3"/>
                <c:pt idx="0">
                  <c:v>3480</c:v>
                </c:pt>
                <c:pt idx="1">
                  <c:v>810</c:v>
                </c:pt>
                <c:pt idx="2">
                  <c:v>9375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2C-4632-9D56-2E7C471E7F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41671839"/>
        <c:axId val="441700159"/>
      </c:barChart>
      <c:catAx>
        <c:axId val="44167183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1700159"/>
        <c:crosses val="autoZero"/>
        <c:auto val="1"/>
        <c:lblAlgn val="ctr"/>
        <c:lblOffset val="100"/>
        <c:noMultiLvlLbl val="0"/>
      </c:catAx>
      <c:valAx>
        <c:axId val="4417001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16718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99060</xdr:colOff>
      <xdr:row>2</xdr:row>
      <xdr:rowOff>53340</xdr:rowOff>
    </xdr:from>
    <xdr:to>
      <xdr:col>10</xdr:col>
      <xdr:colOff>403860</xdr:colOff>
      <xdr:row>17</xdr:row>
      <xdr:rowOff>53340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2179B56-AF82-354D-7EE0-4D61B642A2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nasa" refreshedDate="46171.870899189817" createdVersion="8" refreshedVersion="8" minRefreshableVersion="3" recordCount="12" xr:uid="{78E21158-7A13-467B-9FE7-8E0892D5F3A3}">
  <cacheSource type="worksheet">
    <worksheetSource ref="A1:G13" sheet="Sheet1"/>
  </cacheSource>
  <cacheFields count="7">
    <cacheField name="Order ID" numFmtId="0">
      <sharedItems containsSemiMixedTypes="0" containsString="0" containsNumber="1" containsInteger="1" minValue="1001" maxValue="1012"/>
    </cacheField>
    <cacheField name="Category" numFmtId="0">
      <sharedItems count="3">
        <s v="Furniture"/>
        <s v="Technology"/>
        <s v="Office Supplies"/>
      </sharedItems>
    </cacheField>
    <cacheField name="Region" numFmtId="0">
      <sharedItems count="4">
        <s v="South"/>
        <s v="West"/>
        <s v="East"/>
        <s v="North"/>
      </sharedItems>
    </cacheField>
    <cacheField name="Sales" numFmtId="0">
      <sharedItems containsSemiMixedTypes="0" containsString="0" containsNumber="1" containsInteger="1" minValue="800" maxValue="12000"/>
    </cacheField>
    <cacheField name="Profit" numFmtId="0">
      <sharedItems containsSemiMixedTypes="0" containsString="0" containsNumber="1" containsInteger="1" minValue="160" maxValue="3000"/>
    </cacheField>
    <cacheField name="Quantity" numFmtId="0">
      <sharedItems containsSemiMixedTypes="0" containsString="0" containsNumber="1" containsInteger="1" minValue="1" maxValue="6"/>
    </cacheField>
    <cacheField name="Performance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">
  <r>
    <n v="1001"/>
    <x v="0"/>
    <x v="0"/>
    <n v="4500"/>
    <n v="900"/>
    <n v="3"/>
    <s v="Low"/>
  </r>
  <r>
    <n v="1002"/>
    <x v="1"/>
    <x v="1"/>
    <n v="8200"/>
    <n v="2050"/>
    <n v="2"/>
    <s v="High"/>
  </r>
  <r>
    <n v="1003"/>
    <x v="2"/>
    <x v="2"/>
    <n v="1200"/>
    <n v="240"/>
    <n v="5"/>
    <s v="Low"/>
  </r>
  <r>
    <n v="1004"/>
    <x v="0"/>
    <x v="2"/>
    <n v="3100"/>
    <n v="620"/>
    <n v="4"/>
    <s v="Low"/>
  </r>
  <r>
    <n v="1005"/>
    <x v="1"/>
    <x v="0"/>
    <n v="9500"/>
    <n v="2375"/>
    <n v="1"/>
    <s v="High"/>
  </r>
  <r>
    <n v="1006"/>
    <x v="2"/>
    <x v="1"/>
    <n v="800"/>
    <n v="160"/>
    <n v="6"/>
    <s v="Low"/>
  </r>
  <r>
    <n v="1007"/>
    <x v="0"/>
    <x v="1"/>
    <n v="5600"/>
    <n v="1120"/>
    <n v="2"/>
    <s v="High"/>
  </r>
  <r>
    <n v="1008"/>
    <x v="1"/>
    <x v="2"/>
    <n v="12000"/>
    <n v="3000"/>
    <n v="3"/>
    <s v="High"/>
  </r>
  <r>
    <n v="1009"/>
    <x v="2"/>
    <x v="0"/>
    <n v="950"/>
    <n v="190"/>
    <n v="4"/>
    <s v="Low"/>
  </r>
  <r>
    <n v="1010"/>
    <x v="0"/>
    <x v="3"/>
    <n v="4200"/>
    <n v="840"/>
    <n v="5"/>
    <s v="Low"/>
  </r>
  <r>
    <n v="1011"/>
    <x v="1"/>
    <x v="3"/>
    <n v="7800"/>
    <n v="1950"/>
    <n v="2"/>
    <s v="High"/>
  </r>
  <r>
    <n v="1012"/>
    <x v="2"/>
    <x v="3"/>
    <n v="1100"/>
    <n v="220"/>
    <n v="3"/>
    <s v="Low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9B33C11-E412-41AF-A3ED-6E672977989B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>
  <location ref="A3:C7" firstHeaderRow="0" firstDataRow="1" firstDataCol="1"/>
  <pivotFields count="7">
    <pivotField showAll="0"/>
    <pivotField axis="axisRow" showAll="0">
      <items count="4">
        <item x="0"/>
        <item x="2"/>
        <item x="1"/>
        <item t="default"/>
      </items>
    </pivotField>
    <pivotField showAll="0"/>
    <pivotField dataField="1" showAll="0"/>
    <pivotField dataField="1" showAll="0"/>
    <pivotField showAll="0"/>
    <pivotField showAll="0"/>
  </pivotFields>
  <rowFields count="1">
    <field x="1"/>
  </rowFields>
  <rowItems count="4">
    <i>
      <x/>
    </i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Sales" fld="3" baseField="0" baseItem="0"/>
    <dataField name="Sum of Profit" fld="4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A7384AF-D679-4CD7-8425-F679F323F79E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8" firstHeaderRow="0" firstDataRow="1" firstDataCol="1"/>
  <pivotFields count="7">
    <pivotField showAll="0"/>
    <pivotField showAll="0"/>
    <pivotField axis="axisRow" showAll="0">
      <items count="5">
        <item x="2"/>
        <item x="3"/>
        <item x="0"/>
        <item x="1"/>
        <item t="default"/>
      </items>
    </pivotField>
    <pivotField dataField="1" showAll="0"/>
    <pivotField showAll="0"/>
    <pivotField dataField="1" showAll="0"/>
    <pivotField showAll="0"/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Sales" fld="3" baseField="0" baseItem="0"/>
    <dataField name="Sum of Quantity" fld="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6FC0A21-EBA0-453A-B817-349FA7D7F405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F8" firstHeaderRow="1" firstDataRow="2" firstDataCol="1"/>
  <pivotFields count="7">
    <pivotField showAll="0"/>
    <pivotField axis="axisRow" showAll="0">
      <items count="4">
        <item x="0"/>
        <item x="2"/>
        <item x="1"/>
        <item t="default"/>
      </items>
    </pivotField>
    <pivotField axis="axisCol" showAll="0">
      <items count="5">
        <item x="2"/>
        <item x="3"/>
        <item x="0"/>
        <item x="1"/>
        <item t="default"/>
      </items>
    </pivotField>
    <pivotField dataField="1" showAll="0"/>
    <pivotField showAll="0"/>
    <pivotField showAll="0"/>
    <pivotField showAll="0"/>
  </pivotFields>
  <rowFields count="1">
    <field x="1"/>
  </rowFields>
  <rowItems count="4">
    <i>
      <x/>
    </i>
    <i>
      <x v="1"/>
    </i>
    <i>
      <x v="2"/>
    </i>
    <i t="grand">
      <x/>
    </i>
  </rowItems>
  <colFields count="1">
    <field x="2"/>
  </colFields>
  <colItems count="5">
    <i>
      <x/>
    </i>
    <i>
      <x v="1"/>
    </i>
    <i>
      <x v="2"/>
    </i>
    <i>
      <x v="3"/>
    </i>
    <i t="grand">
      <x/>
    </i>
  </colItems>
  <dataFields count="1">
    <dataField name="Sum of Sales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04E86C-49E1-4945-B212-5838C5EF21DB}">
  <dimension ref="A3:C7"/>
  <sheetViews>
    <sheetView workbookViewId="0">
      <selection activeCell="G26" sqref="G26"/>
    </sheetView>
  </sheetViews>
  <sheetFormatPr defaultRowHeight="14.4" x14ac:dyDescent="0.3"/>
  <cols>
    <col min="1" max="1" width="13.109375" bestFit="1" customWidth="1"/>
    <col min="2" max="2" width="11.6640625" bestFit="1" customWidth="1"/>
    <col min="3" max="3" width="12.109375" bestFit="1" customWidth="1"/>
  </cols>
  <sheetData>
    <row r="3" spans="1:3" x14ac:dyDescent="0.3">
      <c r="A3" s="14" t="s">
        <v>21</v>
      </c>
      <c r="B3" t="s">
        <v>23</v>
      </c>
      <c r="C3" t="s">
        <v>24</v>
      </c>
    </row>
    <row r="4" spans="1:3" x14ac:dyDescent="0.3">
      <c r="A4" s="15" t="s">
        <v>6</v>
      </c>
      <c r="B4">
        <v>17400</v>
      </c>
      <c r="C4">
        <v>3480</v>
      </c>
    </row>
    <row r="5" spans="1:3" x14ac:dyDescent="0.3">
      <c r="A5" s="15" t="s">
        <v>10</v>
      </c>
      <c r="B5">
        <v>4050</v>
      </c>
      <c r="C5">
        <v>810</v>
      </c>
    </row>
    <row r="6" spans="1:3" x14ac:dyDescent="0.3">
      <c r="A6" s="15" t="s">
        <v>8</v>
      </c>
      <c r="B6">
        <v>37500</v>
      </c>
      <c r="C6">
        <v>9375</v>
      </c>
    </row>
    <row r="7" spans="1:3" x14ac:dyDescent="0.3">
      <c r="A7" s="15" t="s">
        <v>22</v>
      </c>
      <c r="B7">
        <v>58950</v>
      </c>
      <c r="C7">
        <v>13665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3049D-3A0E-474A-B83F-9E411026868B}">
  <dimension ref="A3:C8"/>
  <sheetViews>
    <sheetView workbookViewId="0">
      <selection activeCell="A3" sqref="A3"/>
    </sheetView>
  </sheetViews>
  <sheetFormatPr defaultRowHeight="14.4" x14ac:dyDescent="0.3"/>
  <cols>
    <col min="1" max="1" width="12.5546875" bestFit="1" customWidth="1"/>
    <col min="2" max="2" width="11.6640625" bestFit="1" customWidth="1"/>
    <col min="3" max="3" width="14.88671875" bestFit="1" customWidth="1"/>
  </cols>
  <sheetData>
    <row r="3" spans="1:3" x14ac:dyDescent="0.3">
      <c r="A3" s="14" t="s">
        <v>21</v>
      </c>
      <c r="B3" t="s">
        <v>23</v>
      </c>
      <c r="C3" t="s">
        <v>25</v>
      </c>
    </row>
    <row r="4" spans="1:3" x14ac:dyDescent="0.3">
      <c r="A4" s="15" t="s">
        <v>11</v>
      </c>
      <c r="B4">
        <v>16300</v>
      </c>
      <c r="C4">
        <v>12</v>
      </c>
    </row>
    <row r="5" spans="1:3" x14ac:dyDescent="0.3">
      <c r="A5" s="15" t="s">
        <v>12</v>
      </c>
      <c r="B5">
        <v>13100</v>
      </c>
      <c r="C5">
        <v>10</v>
      </c>
    </row>
    <row r="6" spans="1:3" x14ac:dyDescent="0.3">
      <c r="A6" s="15" t="s">
        <v>7</v>
      </c>
      <c r="B6">
        <v>14950</v>
      </c>
      <c r="C6">
        <v>8</v>
      </c>
    </row>
    <row r="7" spans="1:3" x14ac:dyDescent="0.3">
      <c r="A7" s="15" t="s">
        <v>9</v>
      </c>
      <c r="B7">
        <v>14600</v>
      </c>
      <c r="C7">
        <v>10</v>
      </c>
    </row>
    <row r="8" spans="1:3" x14ac:dyDescent="0.3">
      <c r="A8" s="15" t="s">
        <v>22</v>
      </c>
      <c r="B8">
        <v>58950</v>
      </c>
      <c r="C8">
        <v>40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46505-D60C-47ED-AE29-4BEB518FAB00}">
  <dimension ref="A3:F8"/>
  <sheetViews>
    <sheetView workbookViewId="0">
      <selection activeCell="A3" sqref="A3"/>
    </sheetView>
  </sheetViews>
  <sheetFormatPr defaultRowHeight="14.4" x14ac:dyDescent="0.3"/>
  <cols>
    <col min="1" max="1" width="13.109375" bestFit="1" customWidth="1"/>
    <col min="2" max="2" width="15.5546875" bestFit="1" customWidth="1"/>
    <col min="3" max="5" width="6" bestFit="1" customWidth="1"/>
    <col min="6" max="6" width="10.77734375" bestFit="1" customWidth="1"/>
  </cols>
  <sheetData>
    <row r="3" spans="1:6" x14ac:dyDescent="0.3">
      <c r="A3" s="14" t="s">
        <v>23</v>
      </c>
      <c r="B3" s="14" t="s">
        <v>26</v>
      </c>
    </row>
    <row r="4" spans="1:6" x14ac:dyDescent="0.3">
      <c r="A4" s="14" t="s">
        <v>21</v>
      </c>
      <c r="B4" t="s">
        <v>11</v>
      </c>
      <c r="C4" t="s">
        <v>12</v>
      </c>
      <c r="D4" t="s">
        <v>7</v>
      </c>
      <c r="E4" t="s">
        <v>9</v>
      </c>
      <c r="F4" t="s">
        <v>22</v>
      </c>
    </row>
    <row r="5" spans="1:6" x14ac:dyDescent="0.3">
      <c r="A5" s="15" t="s">
        <v>6</v>
      </c>
      <c r="B5">
        <v>3100</v>
      </c>
      <c r="C5">
        <v>4200</v>
      </c>
      <c r="D5">
        <v>4500</v>
      </c>
      <c r="E5">
        <v>5600</v>
      </c>
      <c r="F5">
        <v>17400</v>
      </c>
    </row>
    <row r="6" spans="1:6" x14ac:dyDescent="0.3">
      <c r="A6" s="15" t="s">
        <v>10</v>
      </c>
      <c r="B6">
        <v>1200</v>
      </c>
      <c r="C6">
        <v>1100</v>
      </c>
      <c r="D6">
        <v>950</v>
      </c>
      <c r="E6">
        <v>800</v>
      </c>
      <c r="F6">
        <v>4050</v>
      </c>
    </row>
    <row r="7" spans="1:6" x14ac:dyDescent="0.3">
      <c r="A7" s="15" t="s">
        <v>8</v>
      </c>
      <c r="B7">
        <v>12000</v>
      </c>
      <c r="C7">
        <v>7800</v>
      </c>
      <c r="D7">
        <v>9500</v>
      </c>
      <c r="E7">
        <v>8200</v>
      </c>
      <c r="F7">
        <v>37500</v>
      </c>
    </row>
    <row r="8" spans="1:6" x14ac:dyDescent="0.3">
      <c r="A8" s="15" t="s">
        <v>22</v>
      </c>
      <c r="B8">
        <v>16300</v>
      </c>
      <c r="C8">
        <v>13100</v>
      </c>
      <c r="D8">
        <v>14950</v>
      </c>
      <c r="E8">
        <v>14600</v>
      </c>
      <c r="F8">
        <v>58950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F5DFD9-2BE5-40DD-A037-13E69B8EBBED}">
  <dimension ref="A1:K344"/>
  <sheetViews>
    <sheetView tabSelected="1" workbookViewId="0">
      <selection activeCell="L13" sqref="L13"/>
    </sheetView>
  </sheetViews>
  <sheetFormatPr defaultRowHeight="14.4" x14ac:dyDescent="0.3"/>
  <cols>
    <col min="1" max="1" width="10.33203125" customWidth="1"/>
    <col min="2" max="2" width="11.5546875" customWidth="1"/>
    <col min="7" max="7" width="13.21875" customWidth="1"/>
    <col min="10" max="10" width="13" customWidth="1"/>
  </cols>
  <sheetData>
    <row r="1" spans="1:11" x14ac:dyDescent="0.3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3" t="s">
        <v>20</v>
      </c>
      <c r="H1" s="13" t="s">
        <v>27</v>
      </c>
      <c r="J1" s="13" t="s">
        <v>1</v>
      </c>
      <c r="K1" s="13" t="s">
        <v>27</v>
      </c>
    </row>
    <row r="2" spans="1:11" x14ac:dyDescent="0.3">
      <c r="A2" s="13">
        <v>1001</v>
      </c>
      <c r="B2" s="13" t="s">
        <v>6</v>
      </c>
      <c r="C2" s="13" t="s">
        <v>7</v>
      </c>
      <c r="D2" s="13">
        <v>4500</v>
      </c>
      <c r="E2" s="13">
        <v>900</v>
      </c>
      <c r="F2" s="13">
        <v>3</v>
      </c>
      <c r="G2" t="str">
        <f t="shared" ref="G2:G13" si="0">IF(D2&gt;5000,"High","Low")</f>
        <v>Low</v>
      </c>
      <c r="H2">
        <f>VLOOKUP(B2,$J$2:$K$4,2,FALSE)</f>
        <v>0.12</v>
      </c>
      <c r="J2" t="s">
        <v>6</v>
      </c>
      <c r="K2">
        <v>0.12</v>
      </c>
    </row>
    <row r="3" spans="1:11" x14ac:dyDescent="0.3">
      <c r="A3" s="13">
        <v>1002</v>
      </c>
      <c r="B3" s="13" t="s">
        <v>8</v>
      </c>
      <c r="C3" s="13" t="s">
        <v>9</v>
      </c>
      <c r="D3" s="13">
        <v>8200</v>
      </c>
      <c r="E3" s="13">
        <v>2050</v>
      </c>
      <c r="F3" s="13">
        <v>2</v>
      </c>
      <c r="G3" t="str">
        <f t="shared" si="0"/>
        <v>High</v>
      </c>
      <c r="H3">
        <f t="shared" ref="H3:H13" si="1">VLOOKUP(B3,$J$2:$K$4,2,FALSE)</f>
        <v>0.18</v>
      </c>
      <c r="J3" t="s">
        <v>8</v>
      </c>
      <c r="K3">
        <v>0.18</v>
      </c>
    </row>
    <row r="4" spans="1:11" ht="28.8" x14ac:dyDescent="0.3">
      <c r="A4" s="13">
        <v>1003</v>
      </c>
      <c r="B4" s="13" t="s">
        <v>10</v>
      </c>
      <c r="C4" s="13" t="s">
        <v>11</v>
      </c>
      <c r="D4" s="13">
        <v>1200</v>
      </c>
      <c r="E4" s="13">
        <v>240</v>
      </c>
      <c r="F4" s="13">
        <v>5</v>
      </c>
      <c r="G4" t="str">
        <f t="shared" si="0"/>
        <v>Low</v>
      </c>
      <c r="H4">
        <f t="shared" si="1"/>
        <v>0.05</v>
      </c>
      <c r="J4" t="s">
        <v>10</v>
      </c>
      <c r="K4">
        <v>0.05</v>
      </c>
    </row>
    <row r="5" spans="1:11" x14ac:dyDescent="0.3">
      <c r="A5" s="13">
        <v>1004</v>
      </c>
      <c r="B5" s="13" t="s">
        <v>6</v>
      </c>
      <c r="C5" s="13" t="s">
        <v>11</v>
      </c>
      <c r="D5" s="13">
        <v>3100</v>
      </c>
      <c r="E5" s="13">
        <v>620</v>
      </c>
      <c r="F5" s="13">
        <v>4</v>
      </c>
      <c r="G5" t="str">
        <f t="shared" si="0"/>
        <v>Low</v>
      </c>
      <c r="H5">
        <f t="shared" si="1"/>
        <v>0.12</v>
      </c>
    </row>
    <row r="6" spans="1:11" x14ac:dyDescent="0.3">
      <c r="A6" s="13">
        <v>1005</v>
      </c>
      <c r="B6" s="13" t="s">
        <v>8</v>
      </c>
      <c r="C6" s="13" t="s">
        <v>7</v>
      </c>
      <c r="D6" s="13">
        <v>9500</v>
      </c>
      <c r="E6" s="13">
        <v>2375</v>
      </c>
      <c r="F6" s="13">
        <v>1</v>
      </c>
      <c r="G6" t="str">
        <f t="shared" si="0"/>
        <v>High</v>
      </c>
      <c r="H6">
        <f t="shared" si="1"/>
        <v>0.18</v>
      </c>
    </row>
    <row r="7" spans="1:11" ht="28.8" x14ac:dyDescent="0.3">
      <c r="A7" s="13">
        <v>1006</v>
      </c>
      <c r="B7" s="13" t="s">
        <v>10</v>
      </c>
      <c r="C7" s="13" t="s">
        <v>9</v>
      </c>
      <c r="D7" s="13">
        <v>800</v>
      </c>
      <c r="E7" s="13">
        <v>160</v>
      </c>
      <c r="F7" s="13">
        <v>6</v>
      </c>
      <c r="G7" t="str">
        <f t="shared" si="0"/>
        <v>Low</v>
      </c>
      <c r="H7">
        <f t="shared" si="1"/>
        <v>0.05</v>
      </c>
    </row>
    <row r="8" spans="1:11" x14ac:dyDescent="0.3">
      <c r="A8" s="13">
        <v>1007</v>
      </c>
      <c r="B8" s="13" t="s">
        <v>6</v>
      </c>
      <c r="C8" s="13" t="s">
        <v>9</v>
      </c>
      <c r="D8" s="13">
        <v>5600</v>
      </c>
      <c r="E8" s="13">
        <v>1120</v>
      </c>
      <c r="F8" s="13">
        <v>2</v>
      </c>
      <c r="G8" t="str">
        <f t="shared" si="0"/>
        <v>High</v>
      </c>
      <c r="H8">
        <f t="shared" si="1"/>
        <v>0.12</v>
      </c>
    </row>
    <row r="9" spans="1:11" x14ac:dyDescent="0.3">
      <c r="A9" s="13">
        <v>1008</v>
      </c>
      <c r="B9" s="13" t="s">
        <v>8</v>
      </c>
      <c r="C9" s="13" t="s">
        <v>11</v>
      </c>
      <c r="D9" s="13">
        <v>12000</v>
      </c>
      <c r="E9" s="13">
        <v>3000</v>
      </c>
      <c r="F9" s="13">
        <v>3</v>
      </c>
      <c r="G9" t="str">
        <f t="shared" si="0"/>
        <v>High</v>
      </c>
      <c r="H9">
        <f t="shared" si="1"/>
        <v>0.18</v>
      </c>
    </row>
    <row r="10" spans="1:11" ht="28.8" x14ac:dyDescent="0.3">
      <c r="A10" s="13">
        <v>1009</v>
      </c>
      <c r="B10" s="13" t="s">
        <v>10</v>
      </c>
      <c r="C10" s="13" t="s">
        <v>7</v>
      </c>
      <c r="D10" s="13">
        <v>950</v>
      </c>
      <c r="E10" s="13">
        <v>190</v>
      </c>
      <c r="F10" s="13">
        <v>4</v>
      </c>
      <c r="G10" t="str">
        <f t="shared" si="0"/>
        <v>Low</v>
      </c>
      <c r="H10">
        <f t="shared" si="1"/>
        <v>0.05</v>
      </c>
    </row>
    <row r="11" spans="1:11" x14ac:dyDescent="0.3">
      <c r="A11" s="13">
        <v>1010</v>
      </c>
      <c r="B11" s="13" t="s">
        <v>6</v>
      </c>
      <c r="C11" s="13" t="s">
        <v>12</v>
      </c>
      <c r="D11" s="13">
        <v>4200</v>
      </c>
      <c r="E11" s="13">
        <v>840</v>
      </c>
      <c r="F11" s="13">
        <v>5</v>
      </c>
      <c r="G11" t="str">
        <f t="shared" si="0"/>
        <v>Low</v>
      </c>
      <c r="H11">
        <f t="shared" si="1"/>
        <v>0.12</v>
      </c>
    </row>
    <row r="12" spans="1:11" x14ac:dyDescent="0.3">
      <c r="A12" s="13">
        <v>1011</v>
      </c>
      <c r="B12" s="13" t="s">
        <v>8</v>
      </c>
      <c r="C12" s="13" t="s">
        <v>12</v>
      </c>
      <c r="D12" s="13">
        <v>7800</v>
      </c>
      <c r="E12" s="13">
        <v>1950</v>
      </c>
      <c r="F12" s="13">
        <v>2</v>
      </c>
      <c r="G12" t="str">
        <f t="shared" si="0"/>
        <v>High</v>
      </c>
      <c r="H12">
        <f t="shared" si="1"/>
        <v>0.18</v>
      </c>
    </row>
    <row r="13" spans="1:11" ht="28.8" x14ac:dyDescent="0.3">
      <c r="A13" s="13">
        <v>1012</v>
      </c>
      <c r="B13" s="13" t="s">
        <v>10</v>
      </c>
      <c r="C13" s="13" t="s">
        <v>12</v>
      </c>
      <c r="D13" s="13">
        <v>1100</v>
      </c>
      <c r="E13" s="13">
        <v>220</v>
      </c>
      <c r="F13" s="13">
        <v>3</v>
      </c>
      <c r="G13" t="str">
        <f t="shared" si="0"/>
        <v>Low</v>
      </c>
      <c r="H13">
        <f t="shared" si="1"/>
        <v>0.05</v>
      </c>
    </row>
    <row r="15" spans="1:11" x14ac:dyDescent="0.3">
      <c r="A15" s="1" t="s">
        <v>14</v>
      </c>
    </row>
    <row r="16" spans="1:11" x14ac:dyDescent="0.3">
      <c r="A16" s="2"/>
      <c r="B16" s="13" t="s">
        <v>15</v>
      </c>
      <c r="C16">
        <f>SUM(D2:D13)</f>
        <v>58950</v>
      </c>
    </row>
    <row r="17" spans="1:3" ht="28.8" x14ac:dyDescent="0.3">
      <c r="A17" s="2"/>
      <c r="B17" s="13" t="s">
        <v>16</v>
      </c>
      <c r="C17">
        <f>AVERAGE(D2:D13)</f>
        <v>4912.5</v>
      </c>
    </row>
    <row r="18" spans="1:3" ht="28.8" x14ac:dyDescent="0.3">
      <c r="A18" s="2"/>
      <c r="B18" s="13" t="s">
        <v>17</v>
      </c>
      <c r="C18">
        <f>COUNT(D2:D13)</f>
        <v>12</v>
      </c>
    </row>
    <row r="19" spans="1:3" x14ac:dyDescent="0.3">
      <c r="A19" s="2"/>
      <c r="B19" s="13" t="s">
        <v>18</v>
      </c>
      <c r="C19">
        <f>MAX(D2:D13)</f>
        <v>12000</v>
      </c>
    </row>
    <row r="20" spans="1:3" x14ac:dyDescent="0.3">
      <c r="A20" s="2"/>
      <c r="B20" s="13" t="s">
        <v>19</v>
      </c>
      <c r="C20">
        <f>MIN(D2:D13)</f>
        <v>800</v>
      </c>
    </row>
    <row r="24" spans="1:3" ht="18" x14ac:dyDescent="0.3">
      <c r="A24" s="4"/>
    </row>
    <row r="30" spans="1:3" x14ac:dyDescent="0.3">
      <c r="A30" s="1"/>
    </row>
    <row r="32" spans="1:3" x14ac:dyDescent="0.3">
      <c r="A32" s="5"/>
    </row>
    <row r="36" spans="1:1" x14ac:dyDescent="0.3">
      <c r="A36" s="1"/>
    </row>
    <row r="38" spans="1:1" x14ac:dyDescent="0.3">
      <c r="A38" s="5"/>
    </row>
    <row r="42" spans="1:1" x14ac:dyDescent="0.3">
      <c r="A42" s="1"/>
    </row>
    <row r="44" spans="1:1" x14ac:dyDescent="0.3">
      <c r="A44" s="5"/>
    </row>
    <row r="48" spans="1:1" x14ac:dyDescent="0.3">
      <c r="A48" s="1"/>
    </row>
    <row r="50" spans="1:1" x14ac:dyDescent="0.3">
      <c r="A50" s="5"/>
    </row>
    <row r="54" spans="1:1" x14ac:dyDescent="0.3">
      <c r="A54" s="1"/>
    </row>
    <row r="56" spans="1:1" x14ac:dyDescent="0.3">
      <c r="A56" s="5"/>
    </row>
    <row r="60" spans="1:1" x14ac:dyDescent="0.3">
      <c r="A60" s="1"/>
    </row>
    <row r="61" spans="1:1" x14ac:dyDescent="0.3">
      <c r="A61" s="2"/>
    </row>
    <row r="62" spans="1:1" x14ac:dyDescent="0.3">
      <c r="A62" s="2"/>
    </row>
    <row r="63" spans="1:1" x14ac:dyDescent="0.3">
      <c r="A63" s="2"/>
    </row>
    <row r="64" spans="1:1" x14ac:dyDescent="0.3">
      <c r="A64" s="2"/>
    </row>
    <row r="65" spans="1:1" x14ac:dyDescent="0.3">
      <c r="A65" s="2"/>
    </row>
    <row r="66" spans="1:1" x14ac:dyDescent="0.3">
      <c r="A66" s="2"/>
    </row>
    <row r="68" spans="1:1" x14ac:dyDescent="0.3">
      <c r="A68" s="1"/>
    </row>
    <row r="72" spans="1:1" ht="18" x14ac:dyDescent="0.3">
      <c r="A72" s="4"/>
    </row>
    <row r="74" spans="1:1" x14ac:dyDescent="0.3">
      <c r="A74" s="1"/>
    </row>
    <row r="76" spans="1:1" x14ac:dyDescent="0.3">
      <c r="A76" s="1"/>
    </row>
    <row r="78" spans="1:1" x14ac:dyDescent="0.3">
      <c r="A78" s="1"/>
    </row>
    <row r="80" spans="1:1" x14ac:dyDescent="0.3">
      <c r="A80" s="1"/>
    </row>
    <row r="82" spans="1:1" x14ac:dyDescent="0.3">
      <c r="A82" s="1"/>
    </row>
    <row r="83" spans="1:1" x14ac:dyDescent="0.3">
      <c r="A83" s="2"/>
    </row>
    <row r="84" spans="1:1" x14ac:dyDescent="0.3">
      <c r="A84" s="2"/>
    </row>
    <row r="85" spans="1:1" x14ac:dyDescent="0.3">
      <c r="A85" s="2"/>
    </row>
    <row r="86" spans="1:1" x14ac:dyDescent="0.3">
      <c r="A86" s="2"/>
    </row>
    <row r="94" spans="1:1" x14ac:dyDescent="0.3">
      <c r="A94" s="6"/>
    </row>
    <row r="96" spans="1:1" x14ac:dyDescent="0.3">
      <c r="A96" s="1"/>
    </row>
    <row r="100" spans="1:1" ht="18" x14ac:dyDescent="0.3">
      <c r="A100" s="4"/>
    </row>
    <row r="102" spans="1:1" x14ac:dyDescent="0.3">
      <c r="A102" s="1"/>
    </row>
    <row r="104" spans="1:1" x14ac:dyDescent="0.3">
      <c r="A104" s="1"/>
    </row>
    <row r="108" spans="1:1" x14ac:dyDescent="0.3">
      <c r="A108" s="1"/>
    </row>
    <row r="110" spans="1:1" x14ac:dyDescent="0.3">
      <c r="A110" s="1"/>
    </row>
    <row r="112" spans="1:1" x14ac:dyDescent="0.3">
      <c r="A112" s="1"/>
    </row>
    <row r="118" spans="1:1" x14ac:dyDescent="0.3">
      <c r="A118" s="6"/>
    </row>
    <row r="120" spans="1:1" x14ac:dyDescent="0.3">
      <c r="A120" s="1"/>
    </row>
    <row r="122" spans="1:1" x14ac:dyDescent="0.3">
      <c r="A122" s="1"/>
    </row>
    <row r="126" spans="1:1" ht="18" x14ac:dyDescent="0.3">
      <c r="A126" s="4"/>
    </row>
    <row r="128" spans="1:1" x14ac:dyDescent="0.3">
      <c r="A128" s="1"/>
    </row>
    <row r="130" spans="1:1" x14ac:dyDescent="0.3">
      <c r="A130" s="1"/>
    </row>
    <row r="132" spans="1:1" x14ac:dyDescent="0.3">
      <c r="A132" s="5"/>
    </row>
    <row r="138" spans="1:1" x14ac:dyDescent="0.3">
      <c r="A138" s="1"/>
    </row>
    <row r="139" spans="1:1" x14ac:dyDescent="0.3">
      <c r="A139" s="2"/>
    </row>
    <row r="140" spans="1:1" x14ac:dyDescent="0.3">
      <c r="A140" s="2"/>
    </row>
    <row r="141" spans="1:1" x14ac:dyDescent="0.3">
      <c r="A141" s="2"/>
    </row>
    <row r="142" spans="1:1" x14ac:dyDescent="0.3">
      <c r="A142" s="2"/>
    </row>
    <row r="143" spans="1:1" x14ac:dyDescent="0.3">
      <c r="A143" s="7"/>
    </row>
    <row r="144" spans="1:1" x14ac:dyDescent="0.3">
      <c r="A144" s="2"/>
    </row>
    <row r="147" spans="1:1" x14ac:dyDescent="0.3">
      <c r="A147" s="2"/>
    </row>
    <row r="148" spans="1:1" x14ac:dyDescent="0.3">
      <c r="A148" s="2"/>
    </row>
    <row r="149" spans="1:1" x14ac:dyDescent="0.3">
      <c r="A149" s="2"/>
    </row>
    <row r="155" spans="1:1" x14ac:dyDescent="0.3">
      <c r="A155" s="6"/>
    </row>
    <row r="157" spans="1:1" x14ac:dyDescent="0.3">
      <c r="A157" s="1"/>
    </row>
    <row r="161" spans="1:1" ht="18" x14ac:dyDescent="0.3">
      <c r="A161" s="4"/>
    </row>
    <row r="165" spans="1:1" x14ac:dyDescent="0.3">
      <c r="A165" s="1"/>
    </row>
    <row r="167" spans="1:1" x14ac:dyDescent="0.3">
      <c r="A167" s="1"/>
    </row>
    <row r="173" spans="1:1" ht="18" x14ac:dyDescent="0.3">
      <c r="A173" s="4"/>
    </row>
    <row r="177" spans="1:1" x14ac:dyDescent="0.3">
      <c r="A177" s="1"/>
    </row>
    <row r="185" spans="1:1" x14ac:dyDescent="0.3">
      <c r="A185" s="8"/>
    </row>
    <row r="186" spans="1:1" x14ac:dyDescent="0.3">
      <c r="A186" s="9"/>
    </row>
    <row r="187" spans="1:1" x14ac:dyDescent="0.3">
      <c r="A187" s="9"/>
    </row>
    <row r="188" spans="1:1" x14ac:dyDescent="0.3">
      <c r="A188" s="9"/>
    </row>
    <row r="189" spans="1:1" x14ac:dyDescent="0.3">
      <c r="A189" s="3"/>
    </row>
    <row r="190" spans="1:1" x14ac:dyDescent="0.3">
      <c r="A190" s="9"/>
    </row>
    <row r="191" spans="1:1" x14ac:dyDescent="0.3">
      <c r="A191" s="3"/>
    </row>
    <row r="192" spans="1:1" x14ac:dyDescent="0.3">
      <c r="A192" s="8"/>
    </row>
    <row r="193" spans="1:1" x14ac:dyDescent="0.3">
      <c r="A193" s="5"/>
    </row>
    <row r="194" spans="1:1" x14ac:dyDescent="0.3">
      <c r="A194" s="3"/>
    </row>
    <row r="195" spans="1:1" x14ac:dyDescent="0.3">
      <c r="A195" s="9"/>
    </row>
    <row r="196" spans="1:1" x14ac:dyDescent="0.3">
      <c r="A196" s="3"/>
    </row>
    <row r="197" spans="1:1" x14ac:dyDescent="0.3">
      <c r="A197" s="8"/>
    </row>
    <row r="198" spans="1:1" x14ac:dyDescent="0.3">
      <c r="A198" s="3"/>
    </row>
    <row r="199" spans="1:1" x14ac:dyDescent="0.3">
      <c r="A199" s="8"/>
    </row>
    <row r="200" spans="1:1" x14ac:dyDescent="0.3">
      <c r="A200" s="9"/>
    </row>
    <row r="201" spans="1:1" x14ac:dyDescent="0.3">
      <c r="A201" s="5"/>
    </row>
    <row r="202" spans="1:1" x14ac:dyDescent="0.3">
      <c r="A202" s="5"/>
    </row>
    <row r="203" spans="1:1" x14ac:dyDescent="0.3">
      <c r="A203" s="3"/>
    </row>
    <row r="204" spans="1:1" x14ac:dyDescent="0.3">
      <c r="A204" s="9"/>
    </row>
    <row r="205" spans="1:1" x14ac:dyDescent="0.3">
      <c r="A205" s="5"/>
    </row>
    <row r="206" spans="1:1" x14ac:dyDescent="0.3">
      <c r="A206" s="3"/>
    </row>
    <row r="207" spans="1:1" x14ac:dyDescent="0.3">
      <c r="A207" s="9"/>
    </row>
    <row r="208" spans="1:1" x14ac:dyDescent="0.3">
      <c r="A208" s="3"/>
    </row>
    <row r="209" spans="1:1" x14ac:dyDescent="0.3">
      <c r="A209" s="8"/>
    </row>
    <row r="210" spans="1:1" x14ac:dyDescent="0.3">
      <c r="A210" s="3"/>
    </row>
    <row r="211" spans="1:1" x14ac:dyDescent="0.3">
      <c r="A211" s="9"/>
    </row>
    <row r="212" spans="1:1" x14ac:dyDescent="0.3">
      <c r="A212" s="9"/>
    </row>
    <row r="213" spans="1:1" x14ac:dyDescent="0.3">
      <c r="A213" s="9"/>
    </row>
    <row r="214" spans="1:1" x14ac:dyDescent="0.3">
      <c r="A214" s="9"/>
    </row>
    <row r="215" spans="1:1" x14ac:dyDescent="0.3">
      <c r="A215" s="9"/>
    </row>
    <row r="216" spans="1:1" x14ac:dyDescent="0.3">
      <c r="A216" s="9"/>
    </row>
    <row r="217" spans="1:1" x14ac:dyDescent="0.3">
      <c r="A217" s="9"/>
    </row>
    <row r="218" spans="1:1" x14ac:dyDescent="0.3">
      <c r="A218" s="3"/>
    </row>
    <row r="219" spans="1:1" x14ac:dyDescent="0.3">
      <c r="A219" s="9"/>
    </row>
    <row r="220" spans="1:1" x14ac:dyDescent="0.3">
      <c r="A220" s="9"/>
    </row>
    <row r="221" spans="1:1" x14ac:dyDescent="0.3">
      <c r="A221" s="9"/>
    </row>
    <row r="222" spans="1:1" x14ac:dyDescent="0.3">
      <c r="A222" s="9"/>
    </row>
    <row r="223" spans="1:1" x14ac:dyDescent="0.3">
      <c r="A223" s="9"/>
    </row>
    <row r="224" spans="1:1" x14ac:dyDescent="0.3">
      <c r="A224" s="9"/>
    </row>
    <row r="225" spans="1:1" x14ac:dyDescent="0.3">
      <c r="A225" s="3"/>
    </row>
    <row r="226" spans="1:1" x14ac:dyDescent="0.3">
      <c r="A226" s="9" t="s">
        <v>13</v>
      </c>
    </row>
    <row r="227" spans="1:1" x14ac:dyDescent="0.3">
      <c r="A227" s="3"/>
    </row>
    <row r="228" spans="1:1" x14ac:dyDescent="0.3">
      <c r="A228" s="8"/>
    </row>
    <row r="229" spans="1:1" x14ac:dyDescent="0.3">
      <c r="A229" s="5"/>
    </row>
    <row r="230" spans="1:1" x14ac:dyDescent="0.3">
      <c r="A230" s="5"/>
    </row>
    <row r="231" spans="1:1" x14ac:dyDescent="0.3">
      <c r="A231" s="3"/>
    </row>
    <row r="232" spans="1:1" x14ac:dyDescent="0.3">
      <c r="A232" s="5"/>
    </row>
    <row r="233" spans="1:1" x14ac:dyDescent="0.3">
      <c r="A233" s="5"/>
    </row>
    <row r="234" spans="1:1" x14ac:dyDescent="0.3">
      <c r="A234" s="3"/>
    </row>
    <row r="235" spans="1:1" x14ac:dyDescent="0.3">
      <c r="A235" s="9"/>
    </row>
    <row r="236" spans="1:1" x14ac:dyDescent="0.3">
      <c r="A236" s="3"/>
    </row>
    <row r="237" spans="1:1" x14ac:dyDescent="0.3">
      <c r="A237" s="8"/>
    </row>
    <row r="238" spans="1:1" x14ac:dyDescent="0.3">
      <c r="A238" s="5"/>
    </row>
    <row r="239" spans="1:1" x14ac:dyDescent="0.3">
      <c r="A239" s="5"/>
    </row>
    <row r="240" spans="1:1" x14ac:dyDescent="0.3">
      <c r="A240" s="3"/>
    </row>
    <row r="241" spans="1:1" x14ac:dyDescent="0.3">
      <c r="A241" s="5"/>
    </row>
    <row r="242" spans="1:1" x14ac:dyDescent="0.3">
      <c r="A242" s="5"/>
    </row>
    <row r="243" spans="1:1" x14ac:dyDescent="0.3">
      <c r="A243" s="3"/>
    </row>
    <row r="244" spans="1:1" x14ac:dyDescent="0.3">
      <c r="A244" s="9"/>
    </row>
    <row r="245" spans="1:1" x14ac:dyDescent="0.3">
      <c r="A245" s="3"/>
    </row>
    <row r="246" spans="1:1" x14ac:dyDescent="0.3">
      <c r="A246" s="8"/>
    </row>
    <row r="247" spans="1:1" x14ac:dyDescent="0.3">
      <c r="A247" s="5"/>
    </row>
    <row r="248" spans="1:1" x14ac:dyDescent="0.3">
      <c r="A248" s="3"/>
    </row>
    <row r="249" spans="1:1" x14ac:dyDescent="0.3">
      <c r="A249" s="5"/>
    </row>
    <row r="250" spans="1:1" x14ac:dyDescent="0.3">
      <c r="A250" s="5"/>
    </row>
    <row r="251" spans="1:1" x14ac:dyDescent="0.3">
      <c r="A251" s="3"/>
    </row>
    <row r="252" spans="1:1" x14ac:dyDescent="0.3">
      <c r="A252" s="5"/>
    </row>
    <row r="253" spans="1:1" x14ac:dyDescent="0.3">
      <c r="A253" s="5"/>
    </row>
    <row r="254" spans="1:1" x14ac:dyDescent="0.3">
      <c r="A254" s="3"/>
    </row>
    <row r="255" spans="1:1" x14ac:dyDescent="0.3">
      <c r="A255" s="5"/>
    </row>
    <row r="256" spans="1:1" x14ac:dyDescent="0.3">
      <c r="A256" s="5"/>
    </row>
    <row r="257" spans="1:1" x14ac:dyDescent="0.3">
      <c r="A257" s="3"/>
    </row>
    <row r="258" spans="1:1" x14ac:dyDescent="0.3">
      <c r="A258" s="9"/>
    </row>
    <row r="259" spans="1:1" x14ac:dyDescent="0.3">
      <c r="A259" s="3"/>
    </row>
    <row r="260" spans="1:1" x14ac:dyDescent="0.3">
      <c r="A260" s="8"/>
    </row>
    <row r="261" spans="1:1" x14ac:dyDescent="0.3">
      <c r="A261" s="3"/>
    </row>
    <row r="262" spans="1:1" x14ac:dyDescent="0.3">
      <c r="A262" s="9"/>
    </row>
    <row r="263" spans="1:1" x14ac:dyDescent="0.3">
      <c r="A263" s="9"/>
    </row>
    <row r="264" spans="1:1" x14ac:dyDescent="0.3">
      <c r="A264" s="9"/>
    </row>
    <row r="265" spans="1:1" x14ac:dyDescent="0.3">
      <c r="A265" s="9"/>
    </row>
    <row r="266" spans="1:1" x14ac:dyDescent="0.3">
      <c r="A266" s="9"/>
    </row>
    <row r="267" spans="1:1" x14ac:dyDescent="0.3">
      <c r="A267" s="9"/>
    </row>
    <row r="268" spans="1:1" x14ac:dyDescent="0.3">
      <c r="A268" s="9"/>
    </row>
    <row r="269" spans="1:1" x14ac:dyDescent="0.3">
      <c r="A269" s="3"/>
    </row>
    <row r="270" spans="1:1" x14ac:dyDescent="0.3">
      <c r="A270" s="9"/>
    </row>
    <row r="271" spans="1:1" x14ac:dyDescent="0.3">
      <c r="A271" s="3"/>
    </row>
    <row r="272" spans="1:1" x14ac:dyDescent="0.3">
      <c r="A272" s="8"/>
    </row>
    <row r="273" spans="1:1" x14ac:dyDescent="0.3">
      <c r="A273" s="5"/>
    </row>
    <row r="274" spans="1:1" x14ac:dyDescent="0.3">
      <c r="A274" s="3"/>
    </row>
    <row r="275" spans="1:1" x14ac:dyDescent="0.3">
      <c r="A275" s="8"/>
    </row>
    <row r="276" spans="1:1" x14ac:dyDescent="0.3">
      <c r="A276" s="5"/>
    </row>
    <row r="277" spans="1:1" x14ac:dyDescent="0.3">
      <c r="A277" s="3"/>
    </row>
    <row r="278" spans="1:1" x14ac:dyDescent="0.3">
      <c r="A278" s="9"/>
    </row>
    <row r="279" spans="1:1" x14ac:dyDescent="0.3">
      <c r="A279" s="3"/>
    </row>
    <row r="280" spans="1:1" x14ac:dyDescent="0.3">
      <c r="A280" s="8"/>
    </row>
    <row r="281" spans="1:1" x14ac:dyDescent="0.3">
      <c r="A281" s="5"/>
    </row>
    <row r="282" spans="1:1" x14ac:dyDescent="0.3">
      <c r="A282" s="5"/>
    </row>
    <row r="283" spans="1:1" x14ac:dyDescent="0.3">
      <c r="A283" s="3"/>
    </row>
    <row r="284" spans="1:1" x14ac:dyDescent="0.3">
      <c r="A284" s="9"/>
    </row>
    <row r="285" spans="1:1" x14ac:dyDescent="0.3">
      <c r="A285" s="3"/>
    </row>
    <row r="286" spans="1:1" x14ac:dyDescent="0.3">
      <c r="A286" s="8"/>
    </row>
    <row r="287" spans="1:1" x14ac:dyDescent="0.3">
      <c r="A287" s="9"/>
    </row>
    <row r="288" spans="1:1" x14ac:dyDescent="0.3">
      <c r="A288" s="9"/>
    </row>
    <row r="290" spans="1:1" x14ac:dyDescent="0.3">
      <c r="A290" s="1"/>
    </row>
    <row r="294" spans="1:1" ht="18" x14ac:dyDescent="0.3">
      <c r="A294" s="4"/>
    </row>
    <row r="302" spans="1:1" x14ac:dyDescent="0.3">
      <c r="A302" s="10"/>
    </row>
    <row r="308" spans="1:1" x14ac:dyDescent="0.3">
      <c r="A308" s="11"/>
    </row>
    <row r="309" spans="1:1" x14ac:dyDescent="0.3">
      <c r="A309" s="11"/>
    </row>
    <row r="310" spans="1:1" x14ac:dyDescent="0.3">
      <c r="A310" s="11"/>
    </row>
    <row r="314" spans="1:1" ht="18" x14ac:dyDescent="0.3">
      <c r="A314" s="4"/>
    </row>
    <row r="320" spans="1:1" x14ac:dyDescent="0.3">
      <c r="A320" s="5"/>
    </row>
    <row r="321" spans="1:1" x14ac:dyDescent="0.3">
      <c r="A321" s="5"/>
    </row>
    <row r="322" spans="1:1" x14ac:dyDescent="0.3">
      <c r="A322" s="5"/>
    </row>
    <row r="323" spans="1:1" x14ac:dyDescent="0.3">
      <c r="A323" s="5"/>
    </row>
    <row r="324" spans="1:1" x14ac:dyDescent="0.3">
      <c r="A324" s="5"/>
    </row>
    <row r="325" spans="1:1" x14ac:dyDescent="0.3">
      <c r="A325" s="5"/>
    </row>
    <row r="326" spans="1:1" x14ac:dyDescent="0.3">
      <c r="A326" s="5"/>
    </row>
    <row r="330" spans="1:1" ht="18" x14ac:dyDescent="0.3">
      <c r="A330" s="4"/>
    </row>
    <row r="332" spans="1:1" x14ac:dyDescent="0.3">
      <c r="A332" s="5"/>
    </row>
    <row r="333" spans="1:1" x14ac:dyDescent="0.3">
      <c r="A333" s="5"/>
    </row>
    <row r="334" spans="1:1" x14ac:dyDescent="0.3">
      <c r="A334" s="5"/>
    </row>
    <row r="335" spans="1:1" x14ac:dyDescent="0.3">
      <c r="A335" s="5"/>
    </row>
    <row r="336" spans="1:1" x14ac:dyDescent="0.3">
      <c r="A336" s="5"/>
    </row>
    <row r="337" spans="1:1" x14ac:dyDescent="0.3">
      <c r="A337" s="5"/>
    </row>
    <row r="338" spans="1:1" x14ac:dyDescent="0.3">
      <c r="A338" s="5"/>
    </row>
    <row r="339" spans="1:1" x14ac:dyDescent="0.3">
      <c r="A339" s="5"/>
    </row>
    <row r="343" spans="1:1" ht="15.6" x14ac:dyDescent="0.3">
      <c r="A343" s="12"/>
    </row>
    <row r="344" spans="1:1" ht="15.6" x14ac:dyDescent="0.3">
      <c r="A344" s="12"/>
    </row>
  </sheetData>
  <sortState xmlns:xlrd2="http://schemas.microsoft.com/office/spreadsheetml/2017/richdata2" ref="A2:G13">
    <sortCondition ref="A2:A13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Sheet2</vt:lpstr>
      <vt:lpstr>Sheet4</vt:lpstr>
      <vt:lpstr>Sheet5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Akantham Manasa</dc:creator>
  <cp:lastModifiedBy>Akantham Manasa</cp:lastModifiedBy>
  <dcterms:created xsi:type="dcterms:W3CDTF">2026-05-28T16:49:42Z</dcterms:created>
  <dcterms:modified xsi:type="dcterms:W3CDTF">2026-05-29T15:47:53Z</dcterms:modified>
</cp:coreProperties>
</file>